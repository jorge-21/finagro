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vo Rural" sheetId="1" r:id="rId5"/>
    <sheet state="visible" name="Popular Productivo Rural" sheetId="2" r:id="rId6"/>
  </sheets>
  <definedNames>
    <definedName hidden="1" localSheetId="0" name="_xlnm._FilterDatabase">'Productivo Rural'!$A$36:$G$65</definedName>
    <definedName hidden="1" localSheetId="1" name="_xlnm._FilterDatabase">'Popular Productivo Rural'!$A$37:$G$65</definedName>
  </definedNames>
  <calcPr/>
</workbook>
</file>

<file path=xl/sharedStrings.xml><?xml version="1.0" encoding="utf-8"?>
<sst xmlns="http://schemas.openxmlformats.org/spreadsheetml/2006/main" count="37" uniqueCount="16">
  <si>
    <t>Vigencia desde</t>
  </si>
  <si>
    <t>Vigencia hasta</t>
  </si>
  <si>
    <t>TIBC certificada</t>
  </si>
  <si>
    <t>Tasa de usura</t>
  </si>
  <si>
    <t>Tasa de interés moratoria</t>
  </si>
  <si>
    <t>IBC Manual</t>
  </si>
  <si>
    <t>Usura Manual</t>
  </si>
  <si>
    <t>Filtros aplicados: 
VIGENCIA_DESDE después del 01/04/2007
TIBC es Productivo rural</t>
  </si>
  <si>
    <t>index</t>
  </si>
  <si>
    <t>year_month</t>
  </si>
  <si>
    <t>IBC_all</t>
  </si>
  <si>
    <t>IBC_sin_garantia</t>
  </si>
  <si>
    <t>IBC_con_garantia</t>
  </si>
  <si>
    <t>IBC_rural_sin_garantia</t>
  </si>
  <si>
    <t>gap_sin_garantia_%</t>
  </si>
  <si>
    <t>Filtros aplicados: 
VIGENCIA_DESDE después del 01/04/2007
TIBC es Popular productivo rural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</si>
</sst>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0\ %;-0.00\ %;0.00\ %"/>
    <numFmt numFmtId="166" formatCode="yyyy-mm"/>
    <numFmt numFmtId="167" formatCode="yyyy-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 Text&quot;"/>
    </font>
    <font>
      <b/>
      <sz val="11.0"/>
      <color rgb="FF1F1F1F"/>
      <name val="&quot;Google Sans Text&quot;"/>
    </font>
    <font>
      <sz val="11.0"/>
      <color rgb="FF1F1F1F"/>
      <name val="Roboto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bottom style="thin">
        <color rgb="FFC4C7C5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10" xfId="0" applyAlignment="1" applyFont="1" applyNumberFormat="1">
      <alignment horizontal="right"/>
    </xf>
    <xf borderId="0" fillId="2" fontId="2" numFmtId="10" xfId="0" applyAlignment="1" applyFill="1" applyFont="1" applyNumberFormat="1">
      <alignment horizontal="righ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2" fontId="3" numFmtId="0" xfId="0" applyAlignment="1" applyFont="1">
      <alignment horizontal="center" readingOrder="0"/>
    </xf>
    <xf borderId="0" fillId="2" fontId="3" numFmtId="167" xfId="0" applyAlignment="1" applyFont="1" applyNumberFormat="1">
      <alignment horizontal="center" readingOrder="0"/>
    </xf>
    <xf borderId="0" fillId="2" fontId="3" numFmtId="4" xfId="0" applyAlignment="1" applyFont="1" applyNumberFormat="1">
      <alignment horizontal="center" readingOrder="0"/>
    </xf>
    <xf borderId="0" fillId="2" fontId="3" numFmtId="3" xfId="0" applyAlignment="1" applyFont="1" applyNumberFormat="1">
      <alignment horizontal="center" readingOrder="0"/>
    </xf>
    <xf borderId="0" fillId="0" fontId="1" numFmtId="167" xfId="0" applyAlignment="1" applyFont="1" applyNumberFormat="1">
      <alignment readingOrder="0"/>
    </xf>
    <xf borderId="0" fillId="0" fontId="3" numFmtId="167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0" fontId="1" numFmtId="3" xfId="0" applyFont="1" applyNumberFormat="1"/>
    <xf borderId="0" fillId="0" fontId="2" numFmtId="10" xfId="0" applyAlignment="1" applyFont="1" applyNumberFormat="1">
      <alignment horizontal="right" readingOrder="0"/>
    </xf>
    <xf borderId="0" fillId="0" fontId="1" numFmtId="10" xfId="0" applyFont="1" applyNumberFormat="1"/>
    <xf borderId="0" fillId="0" fontId="2" numFmtId="4" xfId="0" applyAlignment="1" applyFont="1" applyNumberFormat="1">
      <alignment horizontal="right" readingOrder="0"/>
    </xf>
    <xf borderId="0" fillId="2" fontId="2" numFmtId="4" xfId="0" applyAlignment="1" applyFont="1" applyNumberFormat="1">
      <alignment horizontal="right" readingOrder="0"/>
    </xf>
    <xf borderId="2" fillId="2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167" xfId="0" applyAlignment="1" applyFont="1" applyNumberFormat="1">
      <alignment horizontal="center" readingOrder="0"/>
    </xf>
    <xf borderId="0" fillId="2" fontId="4" numFmtId="4" xfId="0" applyAlignment="1" applyFont="1" applyNumberFormat="1">
      <alignment horizontal="center" readingOrder="0"/>
    </xf>
    <xf borderId="0" fillId="2" fontId="4" numFmtId="3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 readingOrder="0"/>
    </xf>
    <xf borderId="0" fillId="2" fontId="4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TIBC certificada, Tasa de usura y Tasa de interés moratoria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'Productivo Rural'!$C$1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'Productivo Rural'!$B$2:$B$30</c:f>
            </c:strRef>
          </c:cat>
          <c:val>
            <c:numRef>
              <c:f>'Productivo Rural'!$C$2:$C$30</c:f>
              <c:numCache/>
            </c:numRef>
          </c:val>
          <c:smooth val="0"/>
        </c:ser>
        <c:ser>
          <c:idx val="1"/>
          <c:order val="1"/>
          <c:tx>
            <c:strRef>
              <c:f>'Productivo Rural'!$D$1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'Productivo Rural'!$B$2:$B$30</c:f>
            </c:strRef>
          </c:cat>
          <c:val>
            <c:numRef>
              <c:f>'Productivo Rural'!$D$2:$D$30</c:f>
              <c:numCache/>
            </c:numRef>
          </c:val>
          <c:smooth val="0"/>
        </c:ser>
        <c:ser>
          <c:idx val="2"/>
          <c:order val="2"/>
          <c:tx>
            <c:strRef>
              <c:f>'Productivo Rural'!$E$1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'Productivo Rural'!$B$2:$B$30</c:f>
            </c:strRef>
          </c:cat>
          <c:val>
            <c:numRef>
              <c:f>'Productivo Rural'!$E$2:$E$30</c:f>
              <c:numCache/>
            </c:numRef>
          </c:val>
          <c:smooth val="0"/>
        </c:ser>
        <c:ser>
          <c:idx val="3"/>
          <c:order val="3"/>
          <c:tx>
            <c:strRef>
              <c:f>'Productivo Rural'!$F$1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'Productivo Rural'!$B$2:$B$30</c:f>
            </c:strRef>
          </c:cat>
          <c:val>
            <c:numRef>
              <c:f>'Productivo Rural'!$F$2:$F$30</c:f>
              <c:numCache/>
            </c:numRef>
          </c:val>
          <c:smooth val="0"/>
        </c:ser>
        <c:ser>
          <c:idx val="4"/>
          <c:order val="4"/>
          <c:tx>
            <c:strRef>
              <c:f>'Productivo Rural'!$G$1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'Productivo Rural'!$B$2:$B$30</c:f>
            </c:strRef>
          </c:cat>
          <c:val>
            <c:numRef>
              <c:f>'Productivo Rural'!$G$2:$G$30</c:f>
              <c:numCache/>
            </c:numRef>
          </c:val>
          <c:smooth val="0"/>
        </c:ser>
        <c:axId val="1776741266"/>
        <c:axId val="1851192173"/>
      </c:lineChart>
      <c:catAx>
        <c:axId val="1776741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Vigencia hasta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192173"/>
      </c:catAx>
      <c:valAx>
        <c:axId val="1851192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741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TIBC certificada, Tasa de usura y Tasa de interés moratoria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'Popular Productivo Rural'!$C$1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'Popular Productivo Rural'!$B$2:$B$30</c:f>
            </c:strRef>
          </c:cat>
          <c:val>
            <c:numRef>
              <c:f>'Popular Productivo Rural'!$C$2:$C$30</c:f>
              <c:numCache/>
            </c:numRef>
          </c:val>
          <c:smooth val="0"/>
        </c:ser>
        <c:ser>
          <c:idx val="1"/>
          <c:order val="1"/>
          <c:tx>
            <c:strRef>
              <c:f>'Popular Productivo Rural'!$D$1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'Popular Productivo Rural'!$B$2:$B$30</c:f>
            </c:strRef>
          </c:cat>
          <c:val>
            <c:numRef>
              <c:f>'Popular Productivo Rural'!$D$2:$D$30</c:f>
              <c:numCache/>
            </c:numRef>
          </c:val>
          <c:smooth val="0"/>
        </c:ser>
        <c:ser>
          <c:idx val="2"/>
          <c:order val="2"/>
          <c:tx>
            <c:strRef>
              <c:f>'Popular Productivo Rural'!$E$1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'Popular Productivo Rural'!$B$2:$B$30</c:f>
            </c:strRef>
          </c:cat>
          <c:val>
            <c:numRef>
              <c:f>'Popular Productivo Rural'!$E$2:$E$30</c:f>
              <c:numCache/>
            </c:numRef>
          </c:val>
          <c:smooth val="0"/>
        </c:ser>
        <c:ser>
          <c:idx val="3"/>
          <c:order val="3"/>
          <c:tx>
            <c:strRef>
              <c:f>'Popular Productivo Rural'!$F$1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'Popular Productivo Rural'!$B$2:$B$30</c:f>
            </c:strRef>
          </c:cat>
          <c:val>
            <c:numRef>
              <c:f>'Popular Productivo Rural'!$F$2:$F$30</c:f>
              <c:numCache/>
            </c:numRef>
          </c:val>
          <c:smooth val="0"/>
        </c:ser>
        <c:ser>
          <c:idx val="4"/>
          <c:order val="4"/>
          <c:tx>
            <c:strRef>
              <c:f>'Popular Productivo Rural'!$G$1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'Popular Productivo Rural'!$B$2:$B$30</c:f>
            </c:strRef>
          </c:cat>
          <c:val>
            <c:numRef>
              <c:f>'Popular Productivo Rural'!$G$2:$G$30</c:f>
              <c:numCache/>
            </c:numRef>
          </c:val>
          <c:smooth val="0"/>
        </c:ser>
        <c:axId val="335458013"/>
        <c:axId val="1253663579"/>
      </c:lineChart>
      <c:catAx>
        <c:axId val="335458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Vigencia hasta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663579"/>
      </c:catAx>
      <c:valAx>
        <c:axId val="1253663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458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809625</xdr:colOff>
      <xdr:row>4</xdr:row>
      <xdr:rowOff>28575</xdr:rowOff>
    </xdr:from>
    <xdr:ext cx="8839200" cy="41529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809625</xdr:colOff>
      <xdr:row>25</xdr:row>
      <xdr:rowOff>133350</xdr:rowOff>
    </xdr:from>
    <xdr:ext cx="8839200" cy="3533775"/>
    <xdr:pic>
      <xdr:nvPicPr>
        <xdr:cNvPr id="162750326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0</xdr:row>
      <xdr:rowOff>0</xdr:rowOff>
    </xdr:from>
    <xdr:ext cx="8677275" cy="33718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323850</xdr:colOff>
      <xdr:row>17</xdr:row>
      <xdr:rowOff>142875</xdr:rowOff>
    </xdr:from>
    <xdr:ext cx="8677275" cy="3533775"/>
    <xdr:pic>
      <xdr:nvPicPr>
        <xdr:cNvPr id="1449919326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4.0"/>
    <col customWidth="1" min="5" max="5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>
        <v>45017.0</v>
      </c>
      <c r="B2" s="3">
        <v>45199.0</v>
      </c>
      <c r="C2" s="4">
        <v>0.3119</v>
      </c>
      <c r="D2" s="4">
        <v>0.4679</v>
      </c>
      <c r="E2" s="4">
        <v>0.4679</v>
      </c>
      <c r="F2" s="5"/>
    </row>
    <row r="3">
      <c r="A3" s="3">
        <v>45200.0</v>
      </c>
      <c r="B3" s="3">
        <v>45291.0</v>
      </c>
      <c r="C3" s="4">
        <v>0.3119</v>
      </c>
      <c r="D3" s="4">
        <v>0.4679</v>
      </c>
      <c r="E3" s="4">
        <v>0.4679</v>
      </c>
      <c r="F3" s="5"/>
    </row>
    <row r="4">
      <c r="A4" s="3">
        <v>45292.0</v>
      </c>
      <c r="B4" s="3">
        <v>45322.0</v>
      </c>
      <c r="C4" s="4">
        <v>0.3273</v>
      </c>
      <c r="D4" s="4">
        <v>0.491</v>
      </c>
      <c r="E4" s="4">
        <v>0.491</v>
      </c>
      <c r="F4" s="5"/>
      <c r="G4" s="6"/>
    </row>
    <row r="5">
      <c r="A5" s="3">
        <v>45323.0</v>
      </c>
      <c r="B5" s="3">
        <v>45351.0</v>
      </c>
      <c r="C5" s="4">
        <v>0.2934</v>
      </c>
      <c r="D5" s="4">
        <v>0.4401</v>
      </c>
      <c r="E5" s="4">
        <v>0.4401</v>
      </c>
      <c r="F5" s="5"/>
      <c r="G5" s="6"/>
    </row>
    <row r="6">
      <c r="A6" s="3">
        <v>45352.0</v>
      </c>
      <c r="B6" s="3">
        <v>45382.0</v>
      </c>
      <c r="C6" s="4">
        <v>0.251</v>
      </c>
      <c r="D6" s="4">
        <v>0.3765</v>
      </c>
      <c r="E6" s="4">
        <v>0.3765</v>
      </c>
      <c r="F6" s="5"/>
    </row>
    <row r="7">
      <c r="A7" s="3">
        <v>45383.0</v>
      </c>
      <c r="B7" s="3">
        <v>45412.0</v>
      </c>
      <c r="C7" s="4">
        <v>0.2054</v>
      </c>
      <c r="D7" s="4">
        <v>0.3081</v>
      </c>
      <c r="E7" s="4">
        <v>0.3081</v>
      </c>
      <c r="F7" s="5">
        <f t="shared" ref="F7:F28" si="1">C43/100</f>
        <v>0.2070272448</v>
      </c>
      <c r="G7" s="6">
        <f t="shared" ref="G7:G28" si="2">F7*1.5</f>
        <v>0.3105408671</v>
      </c>
    </row>
    <row r="8">
      <c r="A8" s="3">
        <v>45413.0</v>
      </c>
      <c r="B8" s="3">
        <v>45443.0</v>
      </c>
      <c r="C8" s="4">
        <v>0.20010000000000003</v>
      </c>
      <c r="D8" s="4">
        <v>0.3002</v>
      </c>
      <c r="E8" s="4">
        <v>0.3002</v>
      </c>
      <c r="F8" s="5">
        <f t="shared" si="1"/>
        <v>0.1947733324</v>
      </c>
      <c r="G8" s="6">
        <f t="shared" si="2"/>
        <v>0.2921599986</v>
      </c>
    </row>
    <row r="9">
      <c r="A9" s="3">
        <v>45444.0</v>
      </c>
      <c r="B9" s="3">
        <v>45473.0</v>
      </c>
      <c r="C9" s="4">
        <v>0.1895</v>
      </c>
      <c r="D9" s="4">
        <v>0.2843</v>
      </c>
      <c r="E9" s="4">
        <v>0.2843</v>
      </c>
      <c r="F9" s="5">
        <f t="shared" si="1"/>
        <v>0.1889016292</v>
      </c>
      <c r="G9" s="6">
        <f t="shared" si="2"/>
        <v>0.2833524438</v>
      </c>
    </row>
    <row r="10">
      <c r="A10" s="3">
        <v>45474.0</v>
      </c>
      <c r="B10" s="3">
        <v>45504.0</v>
      </c>
      <c r="C10" s="4">
        <v>0.1865</v>
      </c>
      <c r="D10" s="4">
        <v>0.2798</v>
      </c>
      <c r="E10" s="4">
        <v>0.2798</v>
      </c>
      <c r="F10" s="5">
        <f t="shared" si="1"/>
        <v>0.184483206</v>
      </c>
      <c r="G10" s="6">
        <f t="shared" si="2"/>
        <v>0.276724809</v>
      </c>
    </row>
    <row r="11">
      <c r="A11" s="3">
        <v>45505.0</v>
      </c>
      <c r="B11" s="3">
        <v>45535.0</v>
      </c>
      <c r="C11" s="4">
        <v>0.17980000000000002</v>
      </c>
      <c r="D11" s="4">
        <v>0.2697</v>
      </c>
      <c r="E11" s="4">
        <v>0.2697</v>
      </c>
      <c r="F11" s="5">
        <f t="shared" si="1"/>
        <v>0.1798231871</v>
      </c>
      <c r="G11" s="6">
        <f t="shared" si="2"/>
        <v>0.2697347807</v>
      </c>
    </row>
    <row r="12">
      <c r="A12" s="3">
        <v>45536.0</v>
      </c>
      <c r="B12" s="3">
        <v>45565.0</v>
      </c>
      <c r="C12" s="4">
        <v>0.1704</v>
      </c>
      <c r="D12" s="4">
        <v>0.2556</v>
      </c>
      <c r="E12" s="4">
        <v>0.2556</v>
      </c>
      <c r="F12" s="5">
        <f t="shared" si="1"/>
        <v>0.1689482677</v>
      </c>
      <c r="G12" s="6">
        <f t="shared" si="2"/>
        <v>0.2534224016</v>
      </c>
    </row>
    <row r="13">
      <c r="A13" s="3">
        <v>45566.0</v>
      </c>
      <c r="B13" s="3">
        <v>45596.0</v>
      </c>
      <c r="C13" s="4">
        <v>0.1672</v>
      </c>
      <c r="D13" s="4">
        <v>0.2508</v>
      </c>
      <c r="E13" s="4">
        <v>0.2508</v>
      </c>
      <c r="F13" s="5">
        <f t="shared" si="1"/>
        <v>0.1695255335</v>
      </c>
      <c r="G13" s="6">
        <f t="shared" si="2"/>
        <v>0.2542883002</v>
      </c>
    </row>
    <row r="14">
      <c r="A14" s="3">
        <v>45597.0</v>
      </c>
      <c r="B14" s="3">
        <v>45626.0</v>
      </c>
      <c r="C14" s="4">
        <v>0.1747</v>
      </c>
      <c r="D14" s="4">
        <v>0.2621</v>
      </c>
      <c r="E14" s="4">
        <v>0.2621</v>
      </c>
      <c r="F14" s="5">
        <f t="shared" si="1"/>
        <v>0.1747413799</v>
      </c>
      <c r="G14" s="6">
        <f t="shared" si="2"/>
        <v>0.2621120698</v>
      </c>
    </row>
    <row r="15">
      <c r="A15" s="3">
        <v>45627.0</v>
      </c>
      <c r="B15" s="3">
        <v>45657.0</v>
      </c>
      <c r="C15" s="4">
        <v>0.1766</v>
      </c>
      <c r="D15" s="4">
        <v>0.2649</v>
      </c>
      <c r="E15" s="4">
        <v>0.2649</v>
      </c>
      <c r="F15" s="5">
        <f t="shared" si="1"/>
        <v>0.1694166423</v>
      </c>
      <c r="G15" s="6">
        <f t="shared" si="2"/>
        <v>0.2541249635</v>
      </c>
    </row>
    <row r="16">
      <c r="A16" s="3">
        <v>45658.0</v>
      </c>
      <c r="B16" s="3">
        <v>45688.0</v>
      </c>
      <c r="C16" s="4">
        <v>0.16079999999999997</v>
      </c>
      <c r="D16" s="4">
        <v>0.2412</v>
      </c>
      <c r="E16" s="4">
        <v>0.2412</v>
      </c>
      <c r="F16" s="5">
        <f t="shared" si="1"/>
        <v>0.1684998331</v>
      </c>
      <c r="G16" s="6">
        <f t="shared" si="2"/>
        <v>0.2527497497</v>
      </c>
    </row>
    <row r="17">
      <c r="A17" s="3">
        <v>45689.0</v>
      </c>
      <c r="B17" s="3">
        <v>45716.0</v>
      </c>
      <c r="C17" s="4">
        <v>0.1809</v>
      </c>
      <c r="D17" s="4">
        <v>0.2714</v>
      </c>
      <c r="E17" s="4">
        <v>0.2714</v>
      </c>
      <c r="F17" s="5">
        <f t="shared" si="1"/>
        <v>0.1807043396</v>
      </c>
      <c r="G17" s="6">
        <f t="shared" si="2"/>
        <v>0.2710565095</v>
      </c>
    </row>
    <row r="18">
      <c r="A18" s="3">
        <v>45717.0</v>
      </c>
      <c r="B18" s="3">
        <v>45747.0</v>
      </c>
      <c r="C18" s="4">
        <v>0.18780000000000002</v>
      </c>
      <c r="D18" s="4">
        <v>0.2817</v>
      </c>
      <c r="E18" s="4">
        <v>0.2817</v>
      </c>
      <c r="F18" s="5">
        <f t="shared" si="1"/>
        <v>0.1884993906</v>
      </c>
      <c r="G18" s="6">
        <f t="shared" si="2"/>
        <v>0.2827490859</v>
      </c>
    </row>
    <row r="19">
      <c r="A19" s="3">
        <v>45748.0</v>
      </c>
      <c r="B19" s="3">
        <v>45777.0</v>
      </c>
      <c r="C19" s="4">
        <v>0.1887</v>
      </c>
      <c r="D19" s="4">
        <v>0.2831</v>
      </c>
      <c r="E19" s="4">
        <v>0.2831</v>
      </c>
      <c r="F19" s="5">
        <f t="shared" si="1"/>
        <v>0.19054368</v>
      </c>
      <c r="G19" s="6">
        <f t="shared" si="2"/>
        <v>0.28581552</v>
      </c>
    </row>
    <row r="20">
      <c r="A20" s="3">
        <v>45778.0</v>
      </c>
      <c r="B20" s="3">
        <v>45808.0</v>
      </c>
      <c r="C20" s="4">
        <v>0.18960000000000002</v>
      </c>
      <c r="D20" s="4">
        <v>0.2844</v>
      </c>
      <c r="E20" s="4">
        <v>0.2844</v>
      </c>
      <c r="F20" s="5">
        <f t="shared" si="1"/>
        <v>0.1888211764</v>
      </c>
      <c r="G20" s="6">
        <f t="shared" si="2"/>
        <v>0.2832317646</v>
      </c>
    </row>
    <row r="21" ht="15.75" customHeight="1">
      <c r="A21" s="3">
        <v>45809.0</v>
      </c>
      <c r="B21" s="3">
        <v>45838.0</v>
      </c>
      <c r="C21" s="4">
        <v>0.1907</v>
      </c>
      <c r="D21" s="4">
        <v>0.2861</v>
      </c>
      <c r="E21" s="4">
        <v>0.2861</v>
      </c>
      <c r="F21" s="5">
        <f t="shared" si="1"/>
        <v>0.1899077646</v>
      </c>
      <c r="G21" s="6">
        <f t="shared" si="2"/>
        <v>0.284861647</v>
      </c>
    </row>
    <row r="22" ht="15.75" customHeight="1">
      <c r="A22" s="3">
        <v>45839.0</v>
      </c>
      <c r="B22" s="3">
        <v>45869.0</v>
      </c>
      <c r="C22" s="4">
        <v>0.19010000000000002</v>
      </c>
      <c r="D22" s="4">
        <v>0.2852</v>
      </c>
      <c r="E22" s="4">
        <v>0.2852</v>
      </c>
      <c r="F22" s="5">
        <f t="shared" si="1"/>
        <v>0.178192822</v>
      </c>
      <c r="G22" s="6">
        <f t="shared" si="2"/>
        <v>0.2672892331</v>
      </c>
    </row>
    <row r="23" ht="15.75" customHeight="1">
      <c r="A23" s="3">
        <v>45870.0</v>
      </c>
      <c r="B23" s="3">
        <v>45900.0</v>
      </c>
      <c r="C23" s="4">
        <v>0.1417</v>
      </c>
      <c r="D23" s="4">
        <v>0.2126</v>
      </c>
      <c r="E23" s="4">
        <v>0.2126</v>
      </c>
      <c r="F23" s="5">
        <f t="shared" si="1"/>
        <v>0.1416784612</v>
      </c>
      <c r="G23" s="6">
        <f t="shared" si="2"/>
        <v>0.2125176918</v>
      </c>
    </row>
    <row r="24" ht="15.75" customHeight="1">
      <c r="A24" s="3">
        <v>45901.0</v>
      </c>
      <c r="B24" s="3">
        <v>45930.0</v>
      </c>
      <c r="C24" s="4">
        <v>0.16190000000000002</v>
      </c>
      <c r="D24" s="4">
        <v>0.2429</v>
      </c>
      <c r="E24" s="4">
        <v>0.2429</v>
      </c>
      <c r="F24" s="5">
        <f t="shared" si="1"/>
        <v>0.1629703298</v>
      </c>
      <c r="G24" s="6">
        <f t="shared" si="2"/>
        <v>0.2444554947</v>
      </c>
    </row>
    <row r="25" ht="15.75" customHeight="1">
      <c r="A25" s="3">
        <v>45931.0</v>
      </c>
      <c r="B25" s="3">
        <v>45961.0</v>
      </c>
      <c r="C25" s="4">
        <v>0.1723</v>
      </c>
      <c r="D25" s="4">
        <v>0.2585</v>
      </c>
      <c r="E25" s="4">
        <v>0.2585</v>
      </c>
      <c r="F25" s="5">
        <f t="shared" si="1"/>
        <v>0.1764531135</v>
      </c>
      <c r="G25" s="6">
        <f t="shared" si="2"/>
        <v>0.2646796702</v>
      </c>
    </row>
    <row r="26" ht="15.75" customHeight="1">
      <c r="A26" s="3">
        <v>45962.0</v>
      </c>
      <c r="B26" s="3">
        <v>45991.0</v>
      </c>
      <c r="C26" s="4">
        <v>0.1826</v>
      </c>
      <c r="D26" s="4">
        <v>0.2739</v>
      </c>
      <c r="E26" s="4">
        <v>0.2739</v>
      </c>
      <c r="F26" s="5">
        <f t="shared" si="1"/>
        <v>0.1815728706</v>
      </c>
      <c r="G26" s="6">
        <f t="shared" si="2"/>
        <v>0.2723593059</v>
      </c>
    </row>
    <row r="27" ht="15.75" customHeight="1">
      <c r="A27" s="3">
        <v>45992.0</v>
      </c>
      <c r="B27" s="3">
        <v>46022.0</v>
      </c>
      <c r="C27" s="4">
        <v>0.1862</v>
      </c>
      <c r="D27" s="4">
        <v>0.2793</v>
      </c>
      <c r="E27" s="4">
        <v>0.2793</v>
      </c>
      <c r="F27" s="5">
        <f t="shared" si="1"/>
        <v>0.1883936704</v>
      </c>
      <c r="G27" s="6">
        <f t="shared" si="2"/>
        <v>0.2825905057</v>
      </c>
    </row>
    <row r="28" ht="15.75" customHeight="1">
      <c r="A28" s="3">
        <v>46023.0</v>
      </c>
      <c r="B28" s="3">
        <v>46053.0</v>
      </c>
      <c r="C28" s="4">
        <v>0.1865</v>
      </c>
      <c r="D28" s="4">
        <v>0.2798</v>
      </c>
      <c r="E28" s="4">
        <v>0.2798</v>
      </c>
      <c r="F28" s="5">
        <f t="shared" si="1"/>
        <v>0.1829094522</v>
      </c>
      <c r="G28" s="6">
        <f t="shared" si="2"/>
        <v>0.2743641784</v>
      </c>
    </row>
    <row r="29" ht="15.75" customHeight="1">
      <c r="A29" s="3">
        <v>46054.0</v>
      </c>
      <c r="B29" s="3">
        <v>46081.0</v>
      </c>
      <c r="C29" s="4">
        <v>0.1945</v>
      </c>
      <c r="D29" s="4">
        <v>0.2918</v>
      </c>
      <c r="E29" s="4">
        <v>0.2918</v>
      </c>
      <c r="F29" s="5"/>
      <c r="G29" s="6"/>
    </row>
    <row r="30" ht="15.75" customHeight="1">
      <c r="A30" s="3">
        <v>46082.0</v>
      </c>
      <c r="B30" s="3">
        <v>46112.0</v>
      </c>
      <c r="C30" s="4">
        <v>0.2094</v>
      </c>
      <c r="D30" s="4">
        <v>0.3141</v>
      </c>
      <c r="E30" s="4">
        <v>0.3141</v>
      </c>
      <c r="F30" s="5"/>
      <c r="G30" s="6"/>
    </row>
    <row r="31" ht="15.75" customHeight="1"/>
    <row r="32" ht="15.75" customHeight="1">
      <c r="A32" s="7" t="s">
        <v>7</v>
      </c>
    </row>
    <row r="33" ht="15.75" customHeight="1"/>
    <row r="34" ht="15.75" customHeight="1"/>
    <row r="35" ht="15.75" customHeight="1"/>
    <row r="36" ht="15.75" customHeight="1">
      <c r="A36" s="8" t="s">
        <v>8</v>
      </c>
      <c r="B36" s="8" t="s">
        <v>9</v>
      </c>
      <c r="C36" s="8" t="s">
        <v>10</v>
      </c>
      <c r="D36" s="8" t="s">
        <v>11</v>
      </c>
      <c r="E36" s="8" t="s">
        <v>12</v>
      </c>
      <c r="F36" s="8" t="s">
        <v>13</v>
      </c>
      <c r="G36" s="8" t="s">
        <v>14</v>
      </c>
      <c r="I36" s="8" t="s">
        <v>8</v>
      </c>
      <c r="J36" s="8" t="s">
        <v>9</v>
      </c>
      <c r="K36" s="8" t="s">
        <v>10</v>
      </c>
      <c r="L36" s="8" t="s">
        <v>11</v>
      </c>
      <c r="M36" s="8" t="s">
        <v>12</v>
      </c>
      <c r="N36" s="8" t="s">
        <v>13</v>
      </c>
      <c r="O36" s="8" t="s">
        <v>14</v>
      </c>
    </row>
    <row r="37" ht="15.75" customHeight="1">
      <c r="A37" s="9">
        <v>0.0</v>
      </c>
      <c r="B37" s="10">
        <v>45170.0</v>
      </c>
      <c r="C37" s="11">
        <v>16.2143157919216</v>
      </c>
      <c r="D37" s="12">
        <v>9.49681901279707E15</v>
      </c>
      <c r="E37" s="12">
        <v>3.90856576200417E15</v>
      </c>
      <c r="F37" s="12">
        <v>9.56940505297473E15</v>
      </c>
      <c r="G37" s="12">
        <v>-4.46973571573377E16</v>
      </c>
      <c r="I37" s="8">
        <v>0.0</v>
      </c>
      <c r="J37" s="13">
        <v>45170.0</v>
      </c>
      <c r="K37" s="14">
        <v>16.2143157919216</v>
      </c>
      <c r="L37" s="15">
        <v>9.6533565720537E13</v>
      </c>
      <c r="M37" s="15">
        <v>3.83678902589678E15</v>
      </c>
      <c r="N37" s="15">
        <v>9.6583438900907E15</v>
      </c>
      <c r="O37" s="15">
        <v>-4.04639906121524E15</v>
      </c>
    </row>
    <row r="38" ht="15.75" customHeight="1">
      <c r="A38" s="16">
        <v>1.0</v>
      </c>
      <c r="B38" s="17">
        <v>45200.0</v>
      </c>
      <c r="C38" s="18">
        <v>19.44029466216</v>
      </c>
      <c r="D38" s="19">
        <v>1.2565668854114E16</v>
      </c>
      <c r="E38" s="19">
        <v>4.0077903699354E15</v>
      </c>
      <c r="F38" s="19">
        <v>1.27189352989353E16</v>
      </c>
      <c r="G38" s="19">
        <v>-3.96934847097297E16</v>
      </c>
      <c r="I38" s="8">
        <v>1.0</v>
      </c>
      <c r="J38" s="20">
        <v>45200.0</v>
      </c>
      <c r="K38" s="14">
        <v>19.44029466216</v>
      </c>
      <c r="L38" s="15">
        <v>1.24236089768933E16</v>
      </c>
      <c r="M38" s="15">
        <v>3.93721810800149E15</v>
      </c>
      <c r="N38" s="15">
        <v>1.24366823409152E16</v>
      </c>
      <c r="O38" s="15">
        <v>-3.60935150788863E15</v>
      </c>
    </row>
    <row r="39" ht="15.75" customHeight="1">
      <c r="A39" s="9">
        <v>2.0</v>
      </c>
      <c r="B39" s="21">
        <v>45231.0</v>
      </c>
      <c r="C39" s="11">
        <v>21.3804542350658</v>
      </c>
      <c r="D39" s="12">
        <v>1.5214490232807E16</v>
      </c>
      <c r="E39" s="12">
        <v>3.98784783989834E16</v>
      </c>
      <c r="F39" s="12">
        <v>1.55137982280651E16</v>
      </c>
      <c r="G39" s="12">
        <v>-3.24522701189708E15</v>
      </c>
      <c r="I39" s="8">
        <v>2.0</v>
      </c>
      <c r="J39" s="20">
        <v>45231.0</v>
      </c>
      <c r="K39" s="14">
        <v>21.3804542350658</v>
      </c>
      <c r="L39" s="15">
        <v>1.50691774641853E16</v>
      </c>
      <c r="M39" s="15">
        <v>3.90591999246802E15</v>
      </c>
      <c r="N39" s="15">
        <v>1.50766249592483E16</v>
      </c>
      <c r="O39" s="15">
        <v>-2.95189087261273E16</v>
      </c>
    </row>
    <row r="40" ht="15.75" customHeight="1">
      <c r="A40" s="16">
        <v>3.0</v>
      </c>
      <c r="B40" s="17">
        <v>45261.0</v>
      </c>
      <c r="C40" s="18">
        <v>20.4560548236179</v>
      </c>
      <c r="D40" s="19">
        <v>1.46609490652422E16</v>
      </c>
      <c r="E40" s="19">
        <v>3.95212669126691E15</v>
      </c>
      <c r="F40" s="19">
        <v>1.47840297607078E15</v>
      </c>
      <c r="G40" s="19">
        <v>-3.21470302265522E15</v>
      </c>
      <c r="I40" s="8">
        <v>3.0</v>
      </c>
      <c r="J40" s="20">
        <v>45261.0</v>
      </c>
      <c r="K40" s="14">
        <v>20.4560548236179</v>
      </c>
      <c r="L40" s="15">
        <v>1.45031382310462E16</v>
      </c>
      <c r="M40" s="15">
        <v>3.87570193196814E15</v>
      </c>
      <c r="N40" s="15">
        <v>1.45067791438843E16</v>
      </c>
      <c r="O40" s="15">
        <v>-2.91010003830196E16</v>
      </c>
    </row>
    <row r="41" ht="15.75" customHeight="1">
      <c r="A41" s="9">
        <v>4.0</v>
      </c>
      <c r="B41" s="10">
        <v>45292.0</v>
      </c>
      <c r="C41" s="11">
        <v>20.7851147101835</v>
      </c>
      <c r="D41" s="12">
        <v>1.47597736987679E16</v>
      </c>
      <c r="E41" s="12">
        <v>4.02805486466715E15</v>
      </c>
      <c r="F41" s="12">
        <v>1.48053791092258E16</v>
      </c>
      <c r="G41" s="12">
        <v>-3.06662618669021E14</v>
      </c>
      <c r="I41" s="8">
        <v>4.0</v>
      </c>
      <c r="J41" s="13">
        <v>45292.0</v>
      </c>
      <c r="K41" s="14">
        <v>20.7851147101835</v>
      </c>
      <c r="L41" s="15">
        <v>1.47233529547336E16</v>
      </c>
      <c r="M41" s="15">
        <v>3.99091842660234E15</v>
      </c>
      <c r="N41" s="15">
        <v>1.47270030001751E16</v>
      </c>
      <c r="O41" s="15">
        <v>-2.91639562252688E16</v>
      </c>
    </row>
    <row r="42" ht="15.75" customHeight="1">
      <c r="A42" s="16">
        <v>5.0</v>
      </c>
      <c r="B42" s="22">
        <v>45323.0</v>
      </c>
      <c r="C42" s="18">
        <v>21.416801830476</v>
      </c>
      <c r="D42" s="19">
        <v>1.43446104707679E15</v>
      </c>
      <c r="E42" s="19">
        <v>3.82600503496503E15</v>
      </c>
      <c r="F42" s="19">
        <v>1.43484204167925E16</v>
      </c>
      <c r="G42" s="19">
        <v>-3.56128789830972E15</v>
      </c>
      <c r="I42" s="8">
        <v>5.0</v>
      </c>
      <c r="J42" s="13">
        <v>45323.0</v>
      </c>
      <c r="K42" s="14">
        <v>21.416801830476</v>
      </c>
      <c r="L42" s="15">
        <v>1.43596485892487E15</v>
      </c>
      <c r="M42" s="15">
        <v>3.76887292876135E16</v>
      </c>
      <c r="N42" s="15">
        <v>1.43632938771347E16</v>
      </c>
      <c r="O42" s="15">
        <v>-3.29514803241303E15</v>
      </c>
    </row>
    <row r="43" ht="15.75" customHeight="1">
      <c r="A43" s="9">
        <v>6.0</v>
      </c>
      <c r="B43" s="10">
        <v>45352.0</v>
      </c>
      <c r="C43" s="11">
        <v>20.7027244759894</v>
      </c>
      <c r="D43" s="12">
        <v>1.42960775916362E16</v>
      </c>
      <c r="E43" s="12">
        <v>3.44728708133971E15</v>
      </c>
      <c r="F43" s="12">
        <v>1.42458677234217E16</v>
      </c>
      <c r="G43" s="12">
        <v>-3.41073284584537E16</v>
      </c>
      <c r="I43" s="8">
        <v>6.0</v>
      </c>
      <c r="J43" s="13">
        <v>45352.0</v>
      </c>
      <c r="K43" s="14">
        <v>20.7027244759894</v>
      </c>
      <c r="L43" s="15">
        <v>1.43266282263709E16</v>
      </c>
      <c r="M43" s="15">
        <v>3.38268719847109E16</v>
      </c>
      <c r="N43" s="15">
        <v>1.4332615597645E16</v>
      </c>
      <c r="O43" s="15">
        <v>-3.07983437494585E14</v>
      </c>
    </row>
    <row r="44" ht="15.75" customHeight="1">
      <c r="A44" s="16">
        <v>7.0</v>
      </c>
      <c r="B44" s="22">
        <v>45383.0</v>
      </c>
      <c r="C44" s="18">
        <v>19.4773332377</v>
      </c>
      <c r="D44" s="19">
        <v>1.45410066594393E16</v>
      </c>
      <c r="E44" s="19">
        <v>2.97586743371685E16</v>
      </c>
      <c r="F44" s="19">
        <v>1.43829977191267E15</v>
      </c>
      <c r="G44" s="19">
        <v>-2.85814098545921E15</v>
      </c>
      <c r="I44" s="8">
        <v>7.0</v>
      </c>
      <c r="J44" s="13">
        <v>45383.0</v>
      </c>
      <c r="K44" s="14">
        <v>19.4773332377</v>
      </c>
      <c r="L44" s="15">
        <v>1.44830937820137E16</v>
      </c>
      <c r="M44" s="15">
        <v>2.93861047023336E15</v>
      </c>
      <c r="N44" s="15">
        <v>1.44939041659608E16</v>
      </c>
      <c r="O44" s="15">
        <v>-2.56412897737946E16</v>
      </c>
    </row>
    <row r="45" ht="15.75" customHeight="1">
      <c r="A45" s="9">
        <v>8.0</v>
      </c>
      <c r="B45" s="10">
        <v>45413.0</v>
      </c>
      <c r="C45" s="11">
        <v>18.8901629204438</v>
      </c>
      <c r="D45" s="12">
        <v>1.40818639937977E16</v>
      </c>
      <c r="E45" s="12">
        <v>2.88278881543684E16</v>
      </c>
      <c r="F45" s="12">
        <v>1.39830156505489E16</v>
      </c>
      <c r="G45" s="12">
        <v>-2.86083096760808E15</v>
      </c>
      <c r="I45" s="8">
        <v>8.0</v>
      </c>
      <c r="J45" s="13">
        <v>45413.0</v>
      </c>
      <c r="K45" s="14">
        <v>18.8901629204438</v>
      </c>
      <c r="L45" s="15">
        <v>1.40293811462524E15</v>
      </c>
      <c r="M45" s="15">
        <v>2.84395169482546E15</v>
      </c>
      <c r="N45" s="15">
        <v>1.40373596501552E16</v>
      </c>
      <c r="O45" s="15">
        <v>-2.57318149910231E14</v>
      </c>
    </row>
    <row r="46" ht="15.75" customHeight="1">
      <c r="A46" s="16">
        <v>9.0</v>
      </c>
      <c r="B46" s="22">
        <v>45444.0</v>
      </c>
      <c r="C46" s="18">
        <v>18.4483205974497</v>
      </c>
      <c r="D46" s="19">
        <v>1.35870276313687E16</v>
      </c>
      <c r="E46" s="19">
        <v>2.74923670465337E16</v>
      </c>
      <c r="F46" s="19">
        <v>1.33681274900398E16</v>
      </c>
      <c r="G46" s="19">
        <v>-2.91583555964955E15</v>
      </c>
      <c r="I46" s="8">
        <v>9.0</v>
      </c>
      <c r="J46" s="13">
        <v>45444.0</v>
      </c>
      <c r="K46" s="14">
        <v>18.4483205974497</v>
      </c>
      <c r="L46" s="15">
        <v>1.35797323050174E14</v>
      </c>
      <c r="M46" s="15">
        <v>2.71907845739684E16</v>
      </c>
      <c r="N46" s="15">
        <v>1.35951463322427E16</v>
      </c>
      <c r="O46" s="15">
        <v>-2.63904146001526E15</v>
      </c>
    </row>
    <row r="47" ht="15.75" customHeight="1">
      <c r="A47" s="9">
        <v>10.0</v>
      </c>
      <c r="B47" s="10">
        <v>45474.0</v>
      </c>
      <c r="C47" s="11">
        <v>17.9823187144818</v>
      </c>
      <c r="D47" s="12">
        <v>1.31315568305163E15</v>
      </c>
      <c r="E47" s="12">
        <v>2.69891285649615E16</v>
      </c>
      <c r="F47" s="12">
        <v>1.30296382007822E15</v>
      </c>
      <c r="G47" s="12">
        <v>-3.00224289744406E15</v>
      </c>
      <c r="I47" s="8">
        <v>10.0</v>
      </c>
      <c r="J47" s="13">
        <v>45474.0</v>
      </c>
      <c r="K47" s="14">
        <v>17.9823187144818</v>
      </c>
      <c r="L47" s="15">
        <v>1.3129228356742E15</v>
      </c>
      <c r="M47" s="15">
        <v>2.67446253072204E16</v>
      </c>
      <c r="N47" s="15">
        <v>1.31417028625442E15</v>
      </c>
      <c r="O47" s="15">
        <v>-2.69881233604844E15</v>
      </c>
    </row>
    <row r="48" ht="15.75" customHeight="1">
      <c r="A48" s="16">
        <v>11.0</v>
      </c>
      <c r="B48" s="22">
        <v>45505.0</v>
      </c>
      <c r="C48" s="18">
        <v>16.8948267747553</v>
      </c>
      <c r="D48" s="19">
        <v>1.24739900249376E16</v>
      </c>
      <c r="E48" s="19">
        <v>2.59779915469146E16</v>
      </c>
      <c r="F48" s="19">
        <v>1.2437145535505E16</v>
      </c>
      <c r="G48" s="19">
        <v>-2.97260738203233E15</v>
      </c>
      <c r="I48" s="8">
        <v>11.0</v>
      </c>
      <c r="J48" s="13">
        <v>45505.0</v>
      </c>
      <c r="K48" s="14">
        <v>16.8948267747553</v>
      </c>
      <c r="L48" s="15">
        <v>1.24844012444124E16</v>
      </c>
      <c r="M48" s="15">
        <v>2.55881315756897E16</v>
      </c>
      <c r="N48" s="15">
        <v>1.2491306315084E16</v>
      </c>
      <c r="O48" s="15">
        <v>-2.61051834928138E16</v>
      </c>
    </row>
    <row r="49" ht="15.75" customHeight="1">
      <c r="A49" s="9">
        <v>12.0</v>
      </c>
      <c r="B49" s="10">
        <v>45536.0</v>
      </c>
      <c r="C49" s="11">
        <v>16.9525533490054</v>
      </c>
      <c r="D49" s="12">
        <v>1.16039754374158E16</v>
      </c>
      <c r="E49" s="12">
        <v>2.47625118843886E15</v>
      </c>
      <c r="F49" s="12">
        <v>1.15511925952296E16</v>
      </c>
      <c r="G49" s="12">
        <v>-3.47393149513945E15</v>
      </c>
      <c r="I49" s="8">
        <v>12.0</v>
      </c>
      <c r="J49" s="13">
        <v>45536.0</v>
      </c>
      <c r="K49" s="14">
        <v>16.9525533490054</v>
      </c>
      <c r="L49" s="15">
        <v>1.161267398807E16</v>
      </c>
      <c r="M49" s="15">
        <v>2.44971525074965E16</v>
      </c>
      <c r="N49" s="15">
        <v>1.16067266011034E15</v>
      </c>
      <c r="O49" s="15">
        <v>-3.14989680374532E16</v>
      </c>
    </row>
    <row r="50" ht="15.75" customHeight="1">
      <c r="A50" s="16">
        <v>13.0</v>
      </c>
      <c r="B50" s="17">
        <v>45566.0</v>
      </c>
      <c r="C50" s="18">
        <v>17.4741379877227</v>
      </c>
      <c r="D50" s="19">
        <v>1.30383335904952E16</v>
      </c>
      <c r="E50" s="19">
        <v>2.43350866083069E16</v>
      </c>
      <c r="F50" s="19">
        <v>1.31768256525942E16</v>
      </c>
      <c r="G50" s="19">
        <v>-2.81898345226213E15</v>
      </c>
      <c r="I50" s="8">
        <v>13.0</v>
      </c>
      <c r="J50" s="20">
        <v>45566.0</v>
      </c>
      <c r="K50" s="14">
        <v>17.4741379877227</v>
      </c>
      <c r="L50" s="15">
        <v>1.30474915066417E16</v>
      </c>
      <c r="M50" s="15">
        <v>2.41641213118283E15</v>
      </c>
      <c r="N50" s="15">
        <v>1.30410400893189E16</v>
      </c>
      <c r="O50" s="15">
        <v>-2.53325599476847E16</v>
      </c>
    </row>
    <row r="51" ht="15.75" customHeight="1">
      <c r="A51" s="9">
        <v>14.0</v>
      </c>
      <c r="B51" s="21">
        <v>45597.0</v>
      </c>
      <c r="C51" s="11">
        <v>16.9416642349001</v>
      </c>
      <c r="D51" s="12">
        <v>1.21197248544354E15</v>
      </c>
      <c r="E51" s="12">
        <v>2.46450895070228E16</v>
      </c>
      <c r="F51" s="12">
        <v>1.22321589277166E16</v>
      </c>
      <c r="G51" s="12">
        <v>-3.19010339929942E14</v>
      </c>
      <c r="I51" s="8">
        <v>14.0</v>
      </c>
      <c r="J51" s="20">
        <v>45597.0</v>
      </c>
      <c r="K51" s="14">
        <v>16.9416642349001</v>
      </c>
      <c r="L51" s="15">
        <v>1.20473666447203E16</v>
      </c>
      <c r="M51" s="15">
        <v>2.43703044182985E16</v>
      </c>
      <c r="N51" s="15">
        <v>1.20732618792472E16</v>
      </c>
      <c r="O51" s="15">
        <v>-2.88891192879234E15</v>
      </c>
    </row>
    <row r="52" ht="15.75" customHeight="1">
      <c r="A52" s="16">
        <v>15.0</v>
      </c>
      <c r="B52" s="17">
        <v>45627.0</v>
      </c>
      <c r="C52" s="18">
        <v>16.8499833119242</v>
      </c>
      <c r="D52" s="19">
        <v>1.25250838603244E16</v>
      </c>
      <c r="E52" s="19">
        <v>2.50138623924941E16</v>
      </c>
      <c r="F52" s="19">
        <v>1.25997194098929E15</v>
      </c>
      <c r="G52" s="19">
        <v>-2.91642611975586E16</v>
      </c>
      <c r="I52" s="8">
        <v>15.0</v>
      </c>
      <c r="J52" s="20">
        <v>45627.0</v>
      </c>
      <c r="K52" s="14">
        <v>16.8499833119242</v>
      </c>
      <c r="L52" s="15">
        <v>1.24879579007041E16</v>
      </c>
      <c r="M52" s="15">
        <v>2.47087113254452E16</v>
      </c>
      <c r="N52" s="15">
        <v>1.25265528855258E16</v>
      </c>
      <c r="O52" s="15">
        <v>-2.5887416803156E15</v>
      </c>
    </row>
    <row r="53" ht="15.75" customHeight="1">
      <c r="A53" s="9">
        <v>16.0</v>
      </c>
      <c r="B53" s="10">
        <v>45658.0</v>
      </c>
      <c r="C53" s="11">
        <v>18.0704339636064</v>
      </c>
      <c r="D53" s="12">
        <v>1.47929204142818E15</v>
      </c>
      <c r="E53" s="12">
        <v>2.32877800304105E15</v>
      </c>
      <c r="F53" s="12">
        <v>1.46988661601402E15</v>
      </c>
      <c r="G53" s="12">
        <v>-2.04070403547769E15</v>
      </c>
      <c r="I53" s="8">
        <v>16.0</v>
      </c>
      <c r="J53" s="13">
        <v>45658.0</v>
      </c>
      <c r="K53" s="14">
        <v>18.0704339636064</v>
      </c>
      <c r="L53" s="15">
        <v>1.47990576093317E16</v>
      </c>
      <c r="M53" s="15">
        <v>2.30807714619872E16</v>
      </c>
      <c r="N53" s="15">
        <v>1.48186725821493E16</v>
      </c>
      <c r="O53" s="15">
        <v>-1.81034742212791E16</v>
      </c>
    </row>
    <row r="54" ht="15.75" customHeight="1">
      <c r="A54" s="16">
        <v>17.0</v>
      </c>
      <c r="B54" s="22">
        <v>45689.0</v>
      </c>
      <c r="C54" s="18">
        <v>18.8499390603274</v>
      </c>
      <c r="D54" s="19">
        <v>1.46983852084523E16</v>
      </c>
      <c r="E54" s="19">
        <v>2.55287311511585E16</v>
      </c>
      <c r="F54" s="19">
        <v>1.46567684242984E15</v>
      </c>
      <c r="G54" s="19">
        <v>-2.43598280237958E16</v>
      </c>
      <c r="I54" s="8">
        <v>17.0</v>
      </c>
      <c r="J54" s="13">
        <v>45689.0</v>
      </c>
      <c r="K54" s="14">
        <v>18.8499390603274</v>
      </c>
      <c r="L54" s="15">
        <v>1.47371381535709E16</v>
      </c>
      <c r="M54" s="15">
        <v>2.53262005651493E16</v>
      </c>
      <c r="N54" s="15">
        <v>1.47456765165888E16</v>
      </c>
      <c r="O54" s="15">
        <v>-2.18186429865574E16</v>
      </c>
    </row>
    <row r="55" ht="15.75" customHeight="1">
      <c r="A55" s="9">
        <v>18.0</v>
      </c>
      <c r="B55" s="10">
        <v>45717.0</v>
      </c>
      <c r="C55" s="11">
        <v>19.0543679978142</v>
      </c>
      <c r="D55" s="12">
        <v>1.44971440494074E16</v>
      </c>
      <c r="E55" s="12">
        <v>2.64544833403627E16</v>
      </c>
      <c r="F55" s="12">
        <v>1.44055446977922E16</v>
      </c>
      <c r="G55" s="12">
        <v>-2.67083481419107E16</v>
      </c>
      <c r="I55" s="8">
        <v>18.0</v>
      </c>
      <c r="J55" s="13">
        <v>45717.0</v>
      </c>
      <c r="K55" s="14">
        <v>19.0543679978142</v>
      </c>
      <c r="L55" s="15">
        <v>1.45396874149114E15</v>
      </c>
      <c r="M55" s="15">
        <v>2.61768063310051E16</v>
      </c>
      <c r="N55" s="15">
        <v>1.45531347545333E16</v>
      </c>
      <c r="O55" s="15">
        <v>-2.36936779189984E15</v>
      </c>
    </row>
    <row r="56" ht="15.75" customHeight="1">
      <c r="A56" s="16">
        <v>19.0</v>
      </c>
      <c r="B56" s="22">
        <v>45748.0</v>
      </c>
      <c r="C56" s="18">
        <v>18.8821176432868</v>
      </c>
      <c r="D56" s="19">
        <v>1.43468833279168E16</v>
      </c>
      <c r="E56" s="19">
        <v>2.6440035857414E16</v>
      </c>
      <c r="F56" s="19">
        <v>1.43008376068376E16</v>
      </c>
      <c r="G56" s="19">
        <v>-2.68361963311149E15</v>
      </c>
      <c r="I56" s="8">
        <v>19.0</v>
      </c>
      <c r="J56" s="13">
        <v>45748.0</v>
      </c>
      <c r="K56" s="14">
        <v>18.8821176432868</v>
      </c>
      <c r="L56" s="15">
        <v>1.43714694902672E16</v>
      </c>
      <c r="M56" s="15">
        <v>2.61450630989093E16</v>
      </c>
      <c r="N56" s="15">
        <v>1.43838086226949E15</v>
      </c>
      <c r="O56" s="15">
        <v>-2.38884654689314E16</v>
      </c>
    </row>
    <row r="57" ht="15.75" customHeight="1">
      <c r="A57" s="9">
        <v>20.0</v>
      </c>
      <c r="B57" s="10">
        <v>45778.0</v>
      </c>
      <c r="C57" s="11">
        <v>18.9907764636754</v>
      </c>
      <c r="D57" s="12">
        <v>1.43592599706247E16</v>
      </c>
      <c r="E57" s="12">
        <v>2.67556440382941E16</v>
      </c>
      <c r="F57" s="12">
        <v>1.42833792936623E16</v>
      </c>
      <c r="G57" s="12">
        <v>-2.74310493807368E16</v>
      </c>
      <c r="I57" s="8">
        <v>20.0</v>
      </c>
      <c r="J57" s="13">
        <v>45778.0</v>
      </c>
      <c r="K57" s="14">
        <v>18.9907764636754</v>
      </c>
      <c r="L57" s="15">
        <v>1.43922493437825E16</v>
      </c>
      <c r="M57" s="15">
        <v>2.64362094322904E16</v>
      </c>
      <c r="N57" s="15">
        <v>1.44045738098089E16</v>
      </c>
      <c r="O57" s="15">
        <v>-2.42145292410171E16</v>
      </c>
    </row>
    <row r="58" ht="15.75" customHeight="1">
      <c r="A58" s="16">
        <v>21.0</v>
      </c>
      <c r="B58" s="22">
        <v>45809.0</v>
      </c>
      <c r="C58" s="18">
        <v>17.8192822034524</v>
      </c>
      <c r="D58" s="19">
        <v>1.14062862703467E15</v>
      </c>
      <c r="E58" s="19">
        <v>2.70353446682683E16</v>
      </c>
      <c r="F58" s="19">
        <v>1.14516419019316E15</v>
      </c>
      <c r="G58" s="19">
        <v>-4.01263082704955E15</v>
      </c>
      <c r="I58" s="8">
        <v>21.0</v>
      </c>
      <c r="J58" s="13">
        <v>45809.0</v>
      </c>
      <c r="K58" s="14">
        <v>17.8192822034524</v>
      </c>
      <c r="L58" s="15">
        <v>1.12073644191504E15</v>
      </c>
      <c r="M58" s="15">
        <v>2.67286741121569E16</v>
      </c>
      <c r="N58" s="15">
        <v>1.12281378444121E16</v>
      </c>
      <c r="O58" s="15">
        <v>-3.71054103572191E15</v>
      </c>
    </row>
    <row r="59" ht="15.75" customHeight="1">
      <c r="A59" s="9">
        <v>22.0</v>
      </c>
      <c r="B59" s="10">
        <v>45839.0</v>
      </c>
      <c r="C59" s="11">
        <v>14.1678461187738</v>
      </c>
      <c r="D59" s="12">
        <v>8.23821607411116E15</v>
      </c>
      <c r="E59" s="12">
        <v>2.67609405753217E16</v>
      </c>
      <c r="F59" s="12">
        <v>8.42449045442323E15</v>
      </c>
      <c r="G59" s="12">
        <v>-4.72338606898976E16</v>
      </c>
      <c r="I59" s="8">
        <v>22.0</v>
      </c>
      <c r="J59" s="13">
        <v>45839.0</v>
      </c>
      <c r="K59" s="14">
        <v>14.1678461187738</v>
      </c>
      <c r="L59" s="15">
        <v>8.11120576876527E15</v>
      </c>
      <c r="M59" s="15">
        <v>2.62803753650378E16</v>
      </c>
      <c r="N59" s="15">
        <v>8.13162686448505E15</v>
      </c>
      <c r="O59" s="15">
        <v>-4.27491963085547E16</v>
      </c>
    </row>
    <row r="60" ht="15.75" customHeight="1">
      <c r="A60" s="16">
        <v>23.0</v>
      </c>
      <c r="B60" s="22">
        <v>45870.0</v>
      </c>
      <c r="C60" s="18">
        <v>16.2970329767748</v>
      </c>
      <c r="D60" s="19">
        <v>1.31524479476502E16</v>
      </c>
      <c r="E60" s="19">
        <v>2.14769219476388E16</v>
      </c>
      <c r="F60" s="19">
        <v>1.32306148395164E16</v>
      </c>
      <c r="G60" s="19">
        <v>-2.20773832978374E15</v>
      </c>
      <c r="I60" s="8">
        <v>23.0</v>
      </c>
      <c r="J60" s="13">
        <v>45870.0</v>
      </c>
      <c r="K60" s="14">
        <v>16.2970329767748</v>
      </c>
      <c r="L60" s="15">
        <v>1.31431939618831E15</v>
      </c>
      <c r="M60" s="15">
        <v>2.12797200532352E16</v>
      </c>
      <c r="N60" s="15">
        <v>1.31560187153295E16</v>
      </c>
      <c r="O60" s="15">
        <v>-1.93522282208443E16</v>
      </c>
    </row>
    <row r="61" ht="15.75" customHeight="1">
      <c r="A61" s="8">
        <v>24.0</v>
      </c>
      <c r="B61" s="13">
        <v>45901.0</v>
      </c>
      <c r="C61" s="14">
        <v>17.6453113460572</v>
      </c>
      <c r="D61" s="15">
        <v>1.40791659773917E16</v>
      </c>
      <c r="E61" s="15">
        <v>2.28723504083147E16</v>
      </c>
      <c r="F61" s="15">
        <v>1.40284660081348E16</v>
      </c>
      <c r="G61" s="15">
        <v>-2.31177788599522E16</v>
      </c>
      <c r="I61" s="8">
        <v>24.0</v>
      </c>
      <c r="J61" s="13">
        <v>45901.0</v>
      </c>
      <c r="K61" s="14">
        <v>17.6453113460572</v>
      </c>
      <c r="L61" s="15">
        <v>1.40720766821502E16</v>
      </c>
      <c r="M61" s="15">
        <v>2.25925438036945E15</v>
      </c>
      <c r="N61" s="15">
        <v>1.40796965113838E16</v>
      </c>
      <c r="O61" s="15">
        <v>-2.02503350257143E16</v>
      </c>
    </row>
    <row r="62" ht="15.75" customHeight="1">
      <c r="A62" s="8">
        <v>25.0</v>
      </c>
      <c r="B62" s="20">
        <v>45931.0</v>
      </c>
      <c r="C62" s="14">
        <v>18.1572870590481</v>
      </c>
      <c r="D62" s="15">
        <v>1.39757139771008E16</v>
      </c>
      <c r="E62" s="15">
        <v>2.43519097222222E15</v>
      </c>
      <c r="F62" s="15">
        <v>1.38760891314233E16</v>
      </c>
      <c r="G62" s="15">
        <v>-2.60422707700162E15</v>
      </c>
      <c r="I62" s="8">
        <v>25.0</v>
      </c>
      <c r="J62" s="20">
        <v>45931.0</v>
      </c>
      <c r="K62" s="14">
        <v>18.1572870590481</v>
      </c>
      <c r="L62" s="15">
        <v>1.39289515235127E16</v>
      </c>
      <c r="M62" s="15">
        <v>2.40980165401311E16</v>
      </c>
      <c r="N62" s="15">
        <v>1.3943118048781E16</v>
      </c>
      <c r="O62" s="15">
        <v>-2.32872648969235E16</v>
      </c>
    </row>
    <row r="63" ht="15.75" customHeight="1">
      <c r="A63" s="8">
        <v>26.0</v>
      </c>
      <c r="B63" s="20">
        <v>45962.0</v>
      </c>
      <c r="C63" s="14">
        <v>18.8393670441302</v>
      </c>
      <c r="D63" s="15">
        <v>1.39404071246819E16</v>
      </c>
      <c r="E63" s="15">
        <v>2.58951491319186E15</v>
      </c>
      <c r="F63" s="15">
        <v>1.3846929016929E16</v>
      </c>
      <c r="G63" s="15">
        <v>-2.94970931057945E15</v>
      </c>
      <c r="I63" s="8">
        <v>26.0</v>
      </c>
      <c r="J63" s="20">
        <v>45962.0</v>
      </c>
      <c r="K63" s="14">
        <v>18.8393670441302</v>
      </c>
      <c r="L63" s="15">
        <v>1.39181828399872E16</v>
      </c>
      <c r="M63" s="15">
        <v>2.5595160483255E15</v>
      </c>
      <c r="N63" s="15">
        <v>1.39250719782075E16</v>
      </c>
      <c r="O63" s="15">
        <v>-2.61218128646009E15</v>
      </c>
    </row>
    <row r="64" ht="15.75" customHeight="1">
      <c r="A64" s="8">
        <v>27.0</v>
      </c>
      <c r="B64" s="20">
        <v>45992.0</v>
      </c>
      <c r="C64" s="14">
        <v>18.290945224946</v>
      </c>
      <c r="D64" s="15">
        <v>1.32559173387096E16</v>
      </c>
      <c r="E64" s="15">
        <v>2.62089083333333E16</v>
      </c>
      <c r="F64" s="15">
        <v>1.30080894800483E16</v>
      </c>
      <c r="G64" s="15">
        <v>-3.11741492757121E15</v>
      </c>
      <c r="I64" s="8">
        <v>27.0</v>
      </c>
      <c r="J64" s="20">
        <v>45992.0</v>
      </c>
      <c r="K64" s="14">
        <v>18.290945224946</v>
      </c>
      <c r="L64" s="15">
        <v>1.33106067881565E16</v>
      </c>
      <c r="M64" s="15">
        <v>2.59275140417594E16</v>
      </c>
      <c r="N64" s="15">
        <v>1.33397733376019E16</v>
      </c>
      <c r="O64" s="15">
        <v>-2.72284366692926E16</v>
      </c>
    </row>
    <row r="65" ht="15.75" customHeight="1">
      <c r="C65" s="15"/>
    </row>
    <row r="66" ht="15.75" customHeight="1">
      <c r="C66" s="23"/>
    </row>
    <row r="67" ht="15.75" customHeight="1">
      <c r="C67" s="23"/>
    </row>
    <row r="68" ht="15.75" customHeight="1">
      <c r="C68" s="23"/>
    </row>
    <row r="69" ht="15.75" customHeight="1">
      <c r="C69" s="2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6:$G$65">
    <sortState ref="A36:G65">
      <sortCondition ref="B36:B65"/>
      <sortCondition descending="1" ref="C36:C6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5" max="5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>
        <v>45017.0</v>
      </c>
      <c r="B2" s="3">
        <v>45199.0</v>
      </c>
      <c r="C2" s="4">
        <v>0.35259999999999997</v>
      </c>
      <c r="D2" s="4">
        <v>0.5289</v>
      </c>
      <c r="E2" s="4">
        <v>0.5289</v>
      </c>
      <c r="F2" s="24"/>
    </row>
    <row r="3">
      <c r="A3" s="3">
        <v>45200.0</v>
      </c>
      <c r="B3" s="3">
        <v>45291.0</v>
      </c>
      <c r="C3" s="4">
        <v>0.35259999999999997</v>
      </c>
      <c r="D3" s="4">
        <v>0.5289</v>
      </c>
      <c r="E3" s="4">
        <v>0.5289</v>
      </c>
      <c r="F3" s="24"/>
    </row>
    <row r="4">
      <c r="A4" s="3">
        <v>45292.0</v>
      </c>
      <c r="B4" s="3">
        <v>45322.0</v>
      </c>
      <c r="C4" s="4">
        <v>0.41859999999999997</v>
      </c>
      <c r="D4" s="4">
        <v>0.6279</v>
      </c>
      <c r="E4" s="4">
        <v>0.6279</v>
      </c>
      <c r="F4" s="24">
        <f t="shared" ref="F4:F27" si="1">C41/100</f>
        <v>0.4038798606</v>
      </c>
      <c r="G4" s="25">
        <f t="shared" ref="G4:G27" si="2">F4*1.5</f>
        <v>0.6058197909</v>
      </c>
    </row>
    <row r="5">
      <c r="A5" s="3">
        <v>45323.0</v>
      </c>
      <c r="B5" s="3">
        <v>45351.0</v>
      </c>
      <c r="C5" s="4">
        <v>0.43450000000000005</v>
      </c>
      <c r="D5" s="4">
        <v>0.6518</v>
      </c>
      <c r="E5" s="4">
        <v>0.6518</v>
      </c>
      <c r="F5" s="24">
        <f t="shared" si="1"/>
        <v>0.4269487284</v>
      </c>
      <c r="G5" s="25">
        <f t="shared" si="2"/>
        <v>0.6404230927</v>
      </c>
    </row>
    <row r="6">
      <c r="A6" s="3">
        <v>45352.0</v>
      </c>
      <c r="B6" s="3">
        <v>45382.0</v>
      </c>
      <c r="C6" s="4">
        <v>0.4587</v>
      </c>
      <c r="D6" s="4">
        <v>0.6881</v>
      </c>
      <c r="E6" s="4">
        <v>0.6881</v>
      </c>
      <c r="F6" s="24">
        <f t="shared" si="1"/>
        <v>0.4477104411</v>
      </c>
      <c r="G6" s="25">
        <f t="shared" si="2"/>
        <v>0.6715656616</v>
      </c>
      <c r="H6" s="26"/>
    </row>
    <row r="7">
      <c r="A7" s="3">
        <v>45383.0</v>
      </c>
      <c r="B7" s="3">
        <v>45412.0</v>
      </c>
      <c r="C7" s="4">
        <v>0.4647</v>
      </c>
      <c r="D7" s="4">
        <v>0.6971</v>
      </c>
      <c r="E7" s="4">
        <v>0.6971</v>
      </c>
      <c r="F7" s="24">
        <f t="shared" si="1"/>
        <v>0.4779305254</v>
      </c>
      <c r="G7" s="25">
        <f t="shared" si="2"/>
        <v>0.716895788</v>
      </c>
      <c r="H7" s="27"/>
    </row>
    <row r="8">
      <c r="A8" s="3">
        <v>45413.0</v>
      </c>
      <c r="B8" s="3">
        <v>45443.0</v>
      </c>
      <c r="C8" s="4">
        <v>0.48979999999999996</v>
      </c>
      <c r="D8" s="4">
        <v>0.7347</v>
      </c>
      <c r="E8" s="4">
        <v>0.7347</v>
      </c>
      <c r="F8" s="24">
        <f t="shared" si="1"/>
        <v>0.4897343444</v>
      </c>
      <c r="G8" s="25">
        <f t="shared" si="2"/>
        <v>0.7346015167</v>
      </c>
      <c r="H8" s="26"/>
    </row>
    <row r="9">
      <c r="A9" s="3">
        <v>45444.0</v>
      </c>
      <c r="B9" s="3">
        <v>45473.0</v>
      </c>
      <c r="C9" s="4">
        <v>0.4914</v>
      </c>
      <c r="D9" s="4">
        <v>0.7371</v>
      </c>
      <c r="E9" s="4">
        <v>0.7371</v>
      </c>
      <c r="F9" s="24">
        <f t="shared" si="1"/>
        <v>0.4880421644</v>
      </c>
      <c r="G9" s="25">
        <f t="shared" si="2"/>
        <v>0.7320632466</v>
      </c>
      <c r="H9" s="27"/>
    </row>
    <row r="10">
      <c r="A10" s="3">
        <v>45474.0</v>
      </c>
      <c r="B10" s="3">
        <v>45504.0</v>
      </c>
      <c r="C10" s="4">
        <v>0.496</v>
      </c>
      <c r="D10" s="4">
        <v>0.744</v>
      </c>
      <c r="E10" s="4">
        <v>0.744</v>
      </c>
      <c r="F10" s="24">
        <f t="shared" si="1"/>
        <v>0.5018299931</v>
      </c>
      <c r="G10" s="25">
        <f t="shared" si="2"/>
        <v>0.7527449897</v>
      </c>
      <c r="H10" s="26"/>
    </row>
    <row r="11">
      <c r="A11" s="3">
        <v>45505.0</v>
      </c>
      <c r="B11" s="3">
        <v>45535.0</v>
      </c>
      <c r="C11" s="4">
        <v>0.4997</v>
      </c>
      <c r="D11" s="4">
        <v>0.7496</v>
      </c>
      <c r="E11" s="4">
        <v>0.7496</v>
      </c>
      <c r="F11" s="24">
        <f t="shared" si="1"/>
        <v>0.4996532623</v>
      </c>
      <c r="G11" s="25">
        <f t="shared" si="2"/>
        <v>0.7494798935</v>
      </c>
      <c r="H11" s="27"/>
    </row>
    <row r="12">
      <c r="A12" s="3">
        <v>45536.0</v>
      </c>
      <c r="B12" s="3">
        <v>45565.0</v>
      </c>
      <c r="C12" s="4">
        <v>0.49700000000000005</v>
      </c>
      <c r="D12" s="4">
        <v>0.7455</v>
      </c>
      <c r="E12" s="4">
        <v>0.7455</v>
      </c>
      <c r="F12" s="24">
        <f t="shared" si="1"/>
        <v>0.4940087172</v>
      </c>
      <c r="G12" s="25">
        <f t="shared" si="2"/>
        <v>0.7410130759</v>
      </c>
      <c r="H12" s="26"/>
    </row>
    <row r="13">
      <c r="A13" s="3">
        <v>45566.0</v>
      </c>
      <c r="B13" s="3">
        <v>45596.0</v>
      </c>
      <c r="C13" s="4">
        <v>0.5001</v>
      </c>
      <c r="D13" s="4">
        <v>0.7502</v>
      </c>
      <c r="E13" s="4">
        <v>0.7502</v>
      </c>
      <c r="F13" s="24">
        <f t="shared" si="1"/>
        <v>0.505062649</v>
      </c>
      <c r="G13" s="25">
        <f t="shared" si="2"/>
        <v>0.7575939735</v>
      </c>
      <c r="H13" s="27"/>
    </row>
    <row r="14">
      <c r="A14" s="3">
        <v>45597.0</v>
      </c>
      <c r="B14" s="3">
        <v>45626.0</v>
      </c>
      <c r="C14" s="4">
        <v>0.506</v>
      </c>
      <c r="D14" s="4">
        <v>0.759</v>
      </c>
      <c r="E14" s="4">
        <v>0.759</v>
      </c>
      <c r="F14" s="24">
        <f t="shared" si="1"/>
        <v>0.5060346481</v>
      </c>
      <c r="G14" s="25">
        <f t="shared" si="2"/>
        <v>0.7590519722</v>
      </c>
      <c r="H14" s="26"/>
    </row>
    <row r="15">
      <c r="A15" s="3">
        <v>45627.0</v>
      </c>
      <c r="B15" s="3">
        <v>45657.0</v>
      </c>
      <c r="C15" s="4">
        <v>0.523</v>
      </c>
      <c r="D15" s="4">
        <v>0.7845</v>
      </c>
      <c r="E15" s="4">
        <v>0.7845</v>
      </c>
      <c r="F15" s="24">
        <f t="shared" si="1"/>
        <v>0.5201309228</v>
      </c>
      <c r="G15" s="25">
        <f t="shared" si="2"/>
        <v>0.7801963842</v>
      </c>
      <c r="H15" s="27"/>
    </row>
    <row r="16">
      <c r="A16" s="3">
        <v>45658.0</v>
      </c>
      <c r="B16" s="3">
        <v>45688.0</v>
      </c>
      <c r="C16" s="4">
        <v>0.522</v>
      </c>
      <c r="D16" s="4">
        <v>0.783</v>
      </c>
      <c r="E16" s="4">
        <v>0.783</v>
      </c>
      <c r="F16" s="24">
        <f t="shared" si="1"/>
        <v>0.5221742699</v>
      </c>
      <c r="G16" s="25">
        <f t="shared" si="2"/>
        <v>0.7832614048</v>
      </c>
      <c r="H16" s="26"/>
    </row>
    <row r="17">
      <c r="A17" s="3">
        <v>45689.0</v>
      </c>
      <c r="B17" s="3">
        <v>45716.0</v>
      </c>
      <c r="C17" s="4">
        <v>0.5182</v>
      </c>
      <c r="D17" s="4">
        <v>0.7773</v>
      </c>
      <c r="E17" s="4">
        <v>0.7773</v>
      </c>
      <c r="F17" s="24">
        <f t="shared" si="1"/>
        <v>0.513423063</v>
      </c>
      <c r="G17" s="25">
        <f t="shared" si="2"/>
        <v>0.7701345945</v>
      </c>
      <c r="H17" s="27"/>
    </row>
    <row r="18">
      <c r="A18" s="3">
        <v>45717.0</v>
      </c>
      <c r="B18" s="3">
        <v>45747.0</v>
      </c>
      <c r="C18" s="4">
        <v>0.5185</v>
      </c>
      <c r="D18" s="4">
        <v>0.7778</v>
      </c>
      <c r="E18" s="4">
        <v>0.7778</v>
      </c>
      <c r="F18" s="24">
        <f t="shared" si="1"/>
        <v>0.5176621111</v>
      </c>
      <c r="G18" s="25">
        <f t="shared" si="2"/>
        <v>0.7764931666</v>
      </c>
      <c r="H18" s="26"/>
    </row>
    <row r="19">
      <c r="A19" s="3">
        <v>45748.0</v>
      </c>
      <c r="B19" s="3">
        <v>45777.0</v>
      </c>
      <c r="C19" s="4">
        <v>0.5196999999999999</v>
      </c>
      <c r="D19" s="4">
        <v>0.7796</v>
      </c>
      <c r="E19" s="4">
        <v>0.7796</v>
      </c>
      <c r="F19" s="24">
        <f t="shared" si="1"/>
        <v>0.5231645184</v>
      </c>
      <c r="G19" s="25">
        <f t="shared" si="2"/>
        <v>0.7847467776</v>
      </c>
      <c r="H19" s="27"/>
    </row>
    <row r="20">
      <c r="A20" s="3">
        <v>45778.0</v>
      </c>
      <c r="B20" s="3">
        <v>45808.0</v>
      </c>
      <c r="C20" s="4">
        <v>0.5156000000000001</v>
      </c>
      <c r="D20" s="4">
        <v>0.7734</v>
      </c>
      <c r="E20" s="4">
        <v>0.7734</v>
      </c>
      <c r="F20" s="24">
        <f t="shared" si="1"/>
        <v>0.5144830397</v>
      </c>
      <c r="G20" s="25">
        <f t="shared" si="2"/>
        <v>0.7717245595</v>
      </c>
      <c r="H20" s="26"/>
    </row>
    <row r="21" ht="15.75" customHeight="1">
      <c r="A21" s="3">
        <v>45809.0</v>
      </c>
      <c r="B21" s="3">
        <v>45838.0</v>
      </c>
      <c r="C21" s="4">
        <v>0.5061</v>
      </c>
      <c r="D21" s="4">
        <v>0.7592</v>
      </c>
      <c r="E21" s="4">
        <v>0.7592</v>
      </c>
      <c r="F21" s="24">
        <f t="shared" si="1"/>
        <v>0.5029096606</v>
      </c>
      <c r="G21" s="25">
        <f t="shared" si="2"/>
        <v>0.7543644909</v>
      </c>
      <c r="H21" s="27"/>
    </row>
    <row r="22" ht="15.75" customHeight="1">
      <c r="A22" s="3">
        <v>45839.0</v>
      </c>
      <c r="B22" s="3">
        <v>45869.0</v>
      </c>
      <c r="C22" s="4">
        <v>0.5103</v>
      </c>
      <c r="D22" s="4">
        <v>0.7655</v>
      </c>
      <c r="E22" s="4">
        <v>0.7655</v>
      </c>
      <c r="F22" s="24">
        <f t="shared" si="1"/>
        <v>0.5109202466</v>
      </c>
      <c r="G22" s="25">
        <f t="shared" si="2"/>
        <v>0.7663803699</v>
      </c>
      <c r="H22" s="26"/>
    </row>
    <row r="23" ht="15.75" customHeight="1">
      <c r="A23" s="3">
        <v>45870.0</v>
      </c>
      <c r="B23" s="3">
        <v>45900.0</v>
      </c>
      <c r="C23" s="4">
        <v>0.4955</v>
      </c>
      <c r="D23" s="4">
        <v>0.7433</v>
      </c>
      <c r="E23" s="4">
        <v>0.7433</v>
      </c>
      <c r="F23" s="24">
        <f t="shared" si="1"/>
        <v>0.4955028517</v>
      </c>
      <c r="G23" s="25">
        <f t="shared" si="2"/>
        <v>0.7432542775</v>
      </c>
      <c r="H23" s="27"/>
    </row>
    <row r="24" ht="15.75" customHeight="1">
      <c r="A24" s="3">
        <v>45901.0</v>
      </c>
      <c r="B24" s="3">
        <v>45930.0</v>
      </c>
      <c r="C24" s="4">
        <v>0.5</v>
      </c>
      <c r="D24" s="4">
        <v>0.75</v>
      </c>
      <c r="E24" s="4">
        <v>0.75</v>
      </c>
      <c r="F24" s="24">
        <f t="shared" si="1"/>
        <v>0.4935127075</v>
      </c>
      <c r="G24" s="25">
        <f t="shared" si="2"/>
        <v>0.7402690612</v>
      </c>
    </row>
    <row r="25" ht="15.75" customHeight="1">
      <c r="A25" s="3">
        <v>45931.0</v>
      </c>
      <c r="B25" s="3">
        <v>45961.0</v>
      </c>
      <c r="C25" s="4">
        <v>0.494</v>
      </c>
      <c r="D25" s="4">
        <v>0.741</v>
      </c>
      <c r="E25" s="4">
        <v>0.741</v>
      </c>
      <c r="F25" s="24">
        <f t="shared" si="1"/>
        <v>0.4986260816</v>
      </c>
      <c r="G25" s="25">
        <f t="shared" si="2"/>
        <v>0.7479391224</v>
      </c>
    </row>
    <row r="26" ht="15.75" customHeight="1">
      <c r="A26" s="3">
        <v>45962.0</v>
      </c>
      <c r="B26" s="3">
        <v>45991.0</v>
      </c>
      <c r="C26" s="4">
        <v>0.4904</v>
      </c>
      <c r="D26" s="4">
        <v>0.7356</v>
      </c>
      <c r="E26" s="4">
        <v>0.7356</v>
      </c>
      <c r="F26" s="24">
        <f t="shared" si="1"/>
        <v>0.4889183304</v>
      </c>
      <c r="G26" s="25">
        <f t="shared" si="2"/>
        <v>0.7333774955</v>
      </c>
    </row>
    <row r="27" ht="15.75" customHeight="1">
      <c r="A27" s="3">
        <v>45992.0</v>
      </c>
      <c r="B27" s="3">
        <v>46022.0</v>
      </c>
      <c r="C27" s="4">
        <v>0.49579999999999996</v>
      </c>
      <c r="D27" s="4">
        <v>0.7437</v>
      </c>
      <c r="E27" s="4">
        <v>0.7437</v>
      </c>
      <c r="F27" s="24">
        <f t="shared" si="1"/>
        <v>0.5019327065</v>
      </c>
      <c r="G27" s="25">
        <f t="shared" si="2"/>
        <v>0.7528990597</v>
      </c>
      <c r="H27" s="26"/>
    </row>
    <row r="28" ht="15.75" customHeight="1">
      <c r="A28" s="3">
        <v>46023.0</v>
      </c>
      <c r="B28" s="3">
        <v>46053.0</v>
      </c>
      <c r="C28" s="4">
        <v>0.5088</v>
      </c>
      <c r="D28" s="4">
        <v>0.7632</v>
      </c>
      <c r="E28" s="4">
        <v>0.7632</v>
      </c>
      <c r="F28" s="24"/>
      <c r="G28" s="25"/>
      <c r="H28" s="27"/>
    </row>
    <row r="29" ht="15.75" customHeight="1">
      <c r="A29" s="3">
        <v>46054.0</v>
      </c>
      <c r="B29" s="3">
        <v>46081.0</v>
      </c>
      <c r="C29" s="4">
        <v>0.4698</v>
      </c>
      <c r="D29" s="4">
        <v>0.7047</v>
      </c>
      <c r="E29" s="4">
        <v>0.7047</v>
      </c>
      <c r="F29" s="24"/>
      <c r="G29" s="25"/>
    </row>
    <row r="30" ht="15.75" customHeight="1">
      <c r="A30" s="3">
        <v>46082.0</v>
      </c>
      <c r="B30" s="3">
        <v>46112.0</v>
      </c>
      <c r="C30" s="4">
        <v>0.4754</v>
      </c>
      <c r="D30" s="4">
        <v>0.7131</v>
      </c>
      <c r="E30" s="4">
        <v>0.7131</v>
      </c>
      <c r="F30" s="24"/>
      <c r="G30" s="25"/>
    </row>
    <row r="31" ht="15.75" customHeight="1"/>
    <row r="32" ht="15.75" customHeight="1">
      <c r="A32" s="7" t="s">
        <v>15</v>
      </c>
    </row>
    <row r="33" ht="15.75" customHeight="1"/>
    <row r="34" ht="15.75" customHeight="1"/>
    <row r="35" ht="15.75" customHeight="1"/>
    <row r="36" ht="15.75" customHeight="1"/>
    <row r="37" ht="15.75" customHeight="1">
      <c r="A37" s="28" t="s">
        <v>8</v>
      </c>
      <c r="B37" s="28" t="s">
        <v>9</v>
      </c>
      <c r="C37" s="28" t="s">
        <v>10</v>
      </c>
      <c r="D37" s="28" t="s">
        <v>11</v>
      </c>
      <c r="E37" s="28" t="s">
        <v>12</v>
      </c>
      <c r="F37" s="28" t="s">
        <v>13</v>
      </c>
      <c r="G37" s="28" t="s">
        <v>14</v>
      </c>
    </row>
    <row r="38" ht="15.75" customHeight="1">
      <c r="A38" s="29">
        <v>0.0</v>
      </c>
      <c r="B38" s="30">
        <v>45170.0</v>
      </c>
      <c r="C38" s="31">
        <v>36.8909942796342</v>
      </c>
      <c r="D38" s="32">
        <v>1.29071168970015E16</v>
      </c>
      <c r="E38" s="32">
        <v>4.80278939540109E16</v>
      </c>
      <c r="F38" s="32">
        <v>1.29000813710884E16</v>
      </c>
      <c r="G38" s="32">
        <v>-6.5012824541498E15</v>
      </c>
    </row>
    <row r="39" ht="15.75" customHeight="1">
      <c r="A39" s="33">
        <v>1.0</v>
      </c>
      <c r="B39" s="34">
        <v>45200.0</v>
      </c>
      <c r="C39" s="35">
        <v>40.191978205918</v>
      </c>
      <c r="D39" s="36">
        <v>2.05961729905974E16</v>
      </c>
      <c r="E39" s="36">
        <v>4.86278319244897E15</v>
      </c>
      <c r="F39" s="36">
        <v>2.06112172172079E15</v>
      </c>
      <c r="G39" s="36">
        <v>-4.87555131397717E16</v>
      </c>
    </row>
    <row r="40" ht="15.75" customHeight="1">
      <c r="A40" s="29">
        <v>2.0</v>
      </c>
      <c r="B40" s="37">
        <v>45231.0</v>
      </c>
      <c r="C40" s="31">
        <v>40.9244316270175</v>
      </c>
      <c r="D40" s="32">
        <v>2.06595302890789E16</v>
      </c>
      <c r="E40" s="32">
        <v>4.8720521703945E15</v>
      </c>
      <c r="F40" s="32">
        <v>2.06541724470932E16</v>
      </c>
      <c r="G40" s="32">
        <v>-4.95178565279329E16</v>
      </c>
    </row>
    <row r="41" ht="15.75" customHeight="1">
      <c r="A41" s="33">
        <v>3.0</v>
      </c>
      <c r="B41" s="34">
        <v>45261.0</v>
      </c>
      <c r="C41" s="35">
        <v>40.3879860626146</v>
      </c>
      <c r="D41" s="36">
        <v>2.02431802782137E16</v>
      </c>
      <c r="E41" s="36">
        <v>4.83009403158461E15</v>
      </c>
      <c r="F41" s="36">
        <v>2.01594937515808E16</v>
      </c>
      <c r="G41" s="36">
        <v>-4.98782131725256E15</v>
      </c>
    </row>
    <row r="42" ht="15.75" customHeight="1">
      <c r="A42" s="29">
        <v>4.0</v>
      </c>
      <c r="B42" s="30">
        <v>45292.0</v>
      </c>
      <c r="C42" s="31">
        <v>42.6948728448064</v>
      </c>
      <c r="D42" s="32">
        <v>1.64699014484592E16</v>
      </c>
      <c r="E42" s="32">
        <v>5.16875489823799E15</v>
      </c>
      <c r="F42" s="32">
        <v>1.64317330547406E16</v>
      </c>
      <c r="G42" s="32">
        <v>-6.14241702784161E15</v>
      </c>
    </row>
    <row r="43" ht="15.75" customHeight="1">
      <c r="A43" s="33">
        <v>5.0</v>
      </c>
      <c r="B43" s="38">
        <v>45323.0</v>
      </c>
      <c r="C43" s="35">
        <v>44.7710441054418</v>
      </c>
      <c r="D43" s="36">
        <v>1.44365028586573E16</v>
      </c>
      <c r="E43" s="36">
        <v>5.33796819499297E16</v>
      </c>
      <c r="F43" s="36">
        <v>1.44393890680226E16</v>
      </c>
      <c r="G43" s="36">
        <v>-6.775482201251E15</v>
      </c>
    </row>
    <row r="44" ht="15.75" customHeight="1">
      <c r="A44" s="29">
        <v>6.0</v>
      </c>
      <c r="B44" s="30">
        <v>45352.0</v>
      </c>
      <c r="C44" s="31">
        <v>47.7930525366035</v>
      </c>
      <c r="D44" s="32">
        <v>1.38295782126193E16</v>
      </c>
      <c r="E44" s="32">
        <v>5.68578010737294E15</v>
      </c>
      <c r="F44" s="32">
        <v>1.38300907142328E16</v>
      </c>
      <c r="G44" s="32">
        <v>-7.1063622265961E13</v>
      </c>
    </row>
    <row r="45" ht="15.75" customHeight="1">
      <c r="A45" s="33">
        <v>7.0</v>
      </c>
      <c r="B45" s="38">
        <v>45383.0</v>
      </c>
      <c r="C45" s="35">
        <v>48.9734344449029</v>
      </c>
      <c r="D45" s="36">
        <v>1.35098733695372E16</v>
      </c>
      <c r="E45" s="36">
        <v>5.72413942525631E15</v>
      </c>
      <c r="F45" s="36">
        <v>1.35147550702709E16</v>
      </c>
      <c r="G45" s="36">
        <v>-7.24138739243693E15</v>
      </c>
    </row>
    <row r="46" ht="15.75" customHeight="1">
      <c r="A46" s="29">
        <v>8.0</v>
      </c>
      <c r="B46" s="30">
        <v>45413.0</v>
      </c>
      <c r="C46" s="31">
        <v>48.804216441595</v>
      </c>
      <c r="D46" s="32">
        <v>1.36165879535707E16</v>
      </c>
      <c r="E46" s="32">
        <v>5.77401596224208E15</v>
      </c>
      <c r="F46" s="32">
        <v>1.3622790294754E16</v>
      </c>
      <c r="G46" s="32">
        <v>-7.20995664998208E15</v>
      </c>
    </row>
    <row r="47" ht="15.75" customHeight="1">
      <c r="A47" s="33">
        <v>9.0</v>
      </c>
      <c r="B47" s="38">
        <v>45444.0</v>
      </c>
      <c r="C47" s="35">
        <v>50.1829993125462</v>
      </c>
      <c r="D47" s="36">
        <v>1.3180565387373E16</v>
      </c>
      <c r="E47" s="36">
        <v>5.87965638980385E15</v>
      </c>
      <c r="F47" s="36">
        <v>1.31703316117744E16</v>
      </c>
      <c r="G47" s="36">
        <v>-7.37349987686411E15</v>
      </c>
    </row>
    <row r="48" ht="15.75" customHeight="1">
      <c r="A48" s="29">
        <v>10.0</v>
      </c>
      <c r="B48" s="30">
        <v>45474.0</v>
      </c>
      <c r="C48" s="31">
        <v>49.9653262348633</v>
      </c>
      <c r="D48" s="32">
        <v>1.26457624246864E16</v>
      </c>
      <c r="E48" s="32">
        <v>5.93033885940983E15</v>
      </c>
      <c r="F48" s="32">
        <v>1.25975973584461E16</v>
      </c>
      <c r="G48" s="32">
        <v>-7.46909239314385E14</v>
      </c>
    </row>
    <row r="49" ht="15.75" customHeight="1">
      <c r="A49" s="33">
        <v>11.0</v>
      </c>
      <c r="B49" s="38">
        <v>45505.0</v>
      </c>
      <c r="C49" s="35">
        <v>49.4008717235289</v>
      </c>
      <c r="D49" s="36">
        <v>1.2116712862613E16</v>
      </c>
      <c r="E49" s="36">
        <v>5.85797334919235E15</v>
      </c>
      <c r="F49" s="36">
        <v>1.20847127100907E16</v>
      </c>
      <c r="G49" s="36">
        <v>-7.54726739835198E15</v>
      </c>
    </row>
    <row r="50" ht="15.75" customHeight="1">
      <c r="A50" s="29">
        <v>12.0</v>
      </c>
      <c r="B50" s="30">
        <v>45536.0</v>
      </c>
      <c r="C50" s="31">
        <v>50.5062649030523</v>
      </c>
      <c r="D50" s="32">
        <v>1.11509646295991E16</v>
      </c>
      <c r="E50" s="32">
        <v>5.82508139508881E15</v>
      </c>
      <c r="F50" s="32">
        <v>1.11282020427069E16</v>
      </c>
      <c r="G50" s="32">
        <v>-7.79216209097947E15</v>
      </c>
    </row>
    <row r="51" ht="15.75" customHeight="1">
      <c r="A51" s="33">
        <v>13.0</v>
      </c>
      <c r="B51" s="34">
        <v>45566.0</v>
      </c>
      <c r="C51" s="35">
        <v>50.6034648143198</v>
      </c>
      <c r="D51" s="36">
        <v>1.26612788306488E16</v>
      </c>
      <c r="E51" s="36">
        <v>5.78592578078144E15</v>
      </c>
      <c r="F51" s="36">
        <v>1.26614240115895E16</v>
      </c>
      <c r="G51" s="36">
        <v>-7.49794230946297E15</v>
      </c>
    </row>
    <row r="52" ht="15.75" customHeight="1">
      <c r="A52" s="29">
        <v>14.0</v>
      </c>
      <c r="B52" s="37">
        <v>45597.0</v>
      </c>
      <c r="C52" s="31">
        <v>52.0130922820827</v>
      </c>
      <c r="D52" s="32">
        <v>1.22542562372472E16</v>
      </c>
      <c r="E52" s="32">
        <v>5.86568613908112E15</v>
      </c>
      <c r="F52" s="32">
        <v>1.22332032500274E16</v>
      </c>
      <c r="G52" s="32">
        <v>-7.64400544178593E15</v>
      </c>
    </row>
    <row r="53" ht="15.75" customHeight="1">
      <c r="A53" s="33">
        <v>15.0</v>
      </c>
      <c r="B53" s="34">
        <v>45627.0</v>
      </c>
      <c r="C53" s="35">
        <v>52.2174269875585</v>
      </c>
      <c r="D53" s="36">
        <v>1.24226660471954E16</v>
      </c>
      <c r="E53" s="36">
        <v>5.8895373811357E15</v>
      </c>
      <c r="F53" s="36">
        <v>1.24338406288876E16</v>
      </c>
      <c r="G53" s="36">
        <v>-7.62097315707353E15</v>
      </c>
    </row>
    <row r="54" ht="15.75" customHeight="1">
      <c r="A54" s="29">
        <v>16.0</v>
      </c>
      <c r="B54" s="30">
        <v>45658.0</v>
      </c>
      <c r="C54" s="31">
        <v>51.3423062978124</v>
      </c>
      <c r="D54" s="32">
        <v>1.47687144151636E14</v>
      </c>
      <c r="E54" s="32">
        <v>5.91649923235338E15</v>
      </c>
      <c r="F54" s="32">
        <v>1.47859807369594E16</v>
      </c>
      <c r="G54" s="32">
        <v>-7.12348052121046E15</v>
      </c>
    </row>
    <row r="55" ht="15.75" customHeight="1">
      <c r="A55" s="33">
        <v>17.0</v>
      </c>
      <c r="B55" s="38">
        <v>45689.0</v>
      </c>
      <c r="C55" s="35">
        <v>51.766211107728</v>
      </c>
      <c r="D55" s="36">
        <v>1.47098819294078E15</v>
      </c>
      <c r="E55" s="36">
        <v>6.03240705290446E15</v>
      </c>
      <c r="F55" s="36">
        <v>1.47166650083063E16</v>
      </c>
      <c r="G55" s="36">
        <v>-7.15840089227394E14</v>
      </c>
    </row>
    <row r="56" ht="15.75" customHeight="1">
      <c r="A56" s="29">
        <v>18.0</v>
      </c>
      <c r="B56" s="30">
        <v>45717.0</v>
      </c>
      <c r="C56" s="31">
        <v>52.3164518414007</v>
      </c>
      <c r="D56" s="32">
        <v>1.4482634178712E16</v>
      </c>
      <c r="E56" s="32">
        <v>6.03314103807434E14</v>
      </c>
      <c r="F56" s="32">
        <v>1.44927350864815E16</v>
      </c>
      <c r="G56" s="32">
        <v>-7.23172469290985E15</v>
      </c>
    </row>
    <row r="57" ht="15.75" customHeight="1">
      <c r="A57" s="33">
        <v>19.0</v>
      </c>
      <c r="B57" s="38">
        <v>45748.0</v>
      </c>
      <c r="C57" s="35">
        <v>51.4483039696912</v>
      </c>
      <c r="D57" s="36">
        <v>1.44580181557651E15</v>
      </c>
      <c r="E57" s="36">
        <v>5.99986852612812E15</v>
      </c>
      <c r="F57" s="36">
        <v>1.44611352970173E15</v>
      </c>
      <c r="G57" s="36">
        <v>-7.18979693397035E15</v>
      </c>
    </row>
    <row r="58" ht="15.75" customHeight="1">
      <c r="A58" s="29">
        <v>20.0</v>
      </c>
      <c r="B58" s="30">
        <v>45778.0</v>
      </c>
      <c r="C58" s="31">
        <v>50.2909660592204</v>
      </c>
      <c r="D58" s="32">
        <v>1.44444861920459E16</v>
      </c>
      <c r="E58" s="32">
        <v>5.91886154898633E15</v>
      </c>
      <c r="F58" s="32">
        <v>1.44496900291792E16</v>
      </c>
      <c r="G58" s="32">
        <v>-7.12781691744859E15</v>
      </c>
    </row>
    <row r="59" ht="15.75" customHeight="1">
      <c r="A59" s="33">
        <v>21.0</v>
      </c>
      <c r="B59" s="38">
        <v>45809.0</v>
      </c>
      <c r="C59" s="35">
        <v>51.0920246617923</v>
      </c>
      <c r="D59" s="36">
        <v>1.21611959040382E15</v>
      </c>
      <c r="E59" s="36">
        <v>5.88228375772653E16</v>
      </c>
      <c r="F59" s="36">
        <v>1.21603420466909E15</v>
      </c>
      <c r="G59" s="36">
        <v>-7.61974672475004E15</v>
      </c>
    </row>
    <row r="60" ht="15.75" customHeight="1">
      <c r="A60" s="29">
        <v>22.0</v>
      </c>
      <c r="B60" s="30">
        <v>45839.0</v>
      </c>
      <c r="C60" s="31">
        <v>49.55028516919</v>
      </c>
      <c r="D60" s="32">
        <v>8.73742050091697E15</v>
      </c>
      <c r="E60" s="32">
        <v>5.90456166081584E15</v>
      </c>
      <c r="F60" s="32">
        <v>8.70682163801525E14</v>
      </c>
      <c r="G60" s="32">
        <v>-8.23665585958124E14</v>
      </c>
    </row>
    <row r="61" ht="15.75" customHeight="1">
      <c r="A61" s="33">
        <v>23.0</v>
      </c>
      <c r="B61" s="38">
        <v>45870.0</v>
      </c>
      <c r="C61" s="35">
        <v>49.3512707488169</v>
      </c>
      <c r="D61" s="36">
        <v>1.32159139724939E16</v>
      </c>
      <c r="E61" s="36">
        <v>5.85956650890945E14</v>
      </c>
      <c r="F61" s="36">
        <v>1.32142389329363E15</v>
      </c>
      <c r="G61" s="36">
        <v>-7.32207220361984E15</v>
      </c>
    </row>
    <row r="62" ht="15.75" customHeight="1">
      <c r="A62" s="39">
        <v>24.0</v>
      </c>
      <c r="B62" s="40">
        <v>45901.0</v>
      </c>
      <c r="C62" s="41">
        <v>49.8626081574423</v>
      </c>
      <c r="D62" s="42">
        <v>1.44935015780428E16</v>
      </c>
      <c r="E62" s="42">
        <v>5.83643486111526E15</v>
      </c>
      <c r="F62" s="42">
        <v>1.44838359689172E16</v>
      </c>
      <c r="G62" s="42">
        <v>-7.09331258158833E15</v>
      </c>
    </row>
    <row r="63" ht="15.75" customHeight="1">
      <c r="A63" s="39">
        <v>25.0</v>
      </c>
      <c r="B63" s="43">
        <v>45931.0</v>
      </c>
      <c r="C63" s="41">
        <v>48.8918330356843</v>
      </c>
      <c r="D63" s="42">
        <v>1.44377143930863E15</v>
      </c>
      <c r="E63" s="42">
        <v>5.70639712214067E15</v>
      </c>
      <c r="F63" s="42">
        <v>1.44623801285732E16</v>
      </c>
      <c r="G63" s="42">
        <v>-7.04700897948562E15</v>
      </c>
    </row>
    <row r="64" ht="15.75" customHeight="1">
      <c r="A64" s="39">
        <v>26.0</v>
      </c>
      <c r="B64" s="43">
        <v>45962.0</v>
      </c>
      <c r="C64" s="41">
        <v>50.1932706459531</v>
      </c>
      <c r="D64" s="42">
        <v>1.42954202849195E16</v>
      </c>
      <c r="E64" s="42">
        <v>5.82501666983078E15</v>
      </c>
      <c r="F64" s="42">
        <v>1.43301705519738E15</v>
      </c>
      <c r="G64" s="42">
        <v>-7.15192492918926E15</v>
      </c>
    </row>
    <row r="65" ht="15.75" customHeight="1">
      <c r="A65" s="39">
        <v>27.0</v>
      </c>
      <c r="B65" s="43">
        <v>45992.0</v>
      </c>
      <c r="C65" s="41">
        <v>50.1452052645497</v>
      </c>
      <c r="D65" s="42">
        <v>1.26680747062965E16</v>
      </c>
      <c r="E65" s="42">
        <v>5.81602361660511E15</v>
      </c>
      <c r="F65" s="42">
        <v>1.26192024328994E16</v>
      </c>
      <c r="G65" s="42">
        <v>-7.4737216371009E15</v>
      </c>
    </row>
    <row r="66" ht="15.75" customHeight="1">
      <c r="C66" s="4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7:$G$65">
    <sortState ref="A37:G65">
      <sortCondition ref="B37:B65"/>
    </sortState>
  </autoFilter>
  <drawing r:id="rId1"/>
</worksheet>
</file>